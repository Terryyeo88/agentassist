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ST Transactions" sheetId="1" r:id="rId1"/>
  </sheets>
  <calcPr calcId="162913"/>
</workbook>
</file>

<file path=xl/sharedStrings.xml><?xml version="1.0" encoding="utf-8"?>
<sst xmlns="http://schemas.openxmlformats.org/spreadsheetml/2006/main" count="43" uniqueCount="43">
  <si>
    <t>GST Transactions</t>
  </si>
  <si>
    <t>AgentAssist</t>
  </si>
  <si>
    <t>For the period 1 April 2026 to 30 June 2026</t>
  </si>
  <si>
    <t>Date</t>
  </si>
  <si>
    <t>Source</t>
  </si>
  <si>
    <t>Description</t>
  </si>
  <si>
    <t>Reference</t>
  </si>
  <si>
    <t>Debit</t>
  </si>
  <si>
    <t>Credit</t>
  </si>
  <si>
    <t>Running Balance</t>
  </si>
  <si>
    <t>Gross</t>
  </si>
  <si>
    <t>Tax</t>
  </si>
  <si>
    <t>GST</t>
  </si>
  <si>
    <t>Opening Balance</t>
  </si>
  <si>
    <t>Receivable Invoice</t>
  </si>
  <si>
    <t>Acme Pte Ltd</t>
  </si>
  <si>
    <t>INV-2001</t>
  </si>
  <si>
    <t>Payable Invoice</t>
  </si>
  <si>
    <t>GoodVendor Pte Ltd</t>
  </si>
  <si>
    <t>BILL-3001</t>
  </si>
  <si>
    <t>OldRate Supplies Pte Ltd</t>
  </si>
  <si>
    <t>BILL-3002</t>
  </si>
  <si>
    <t>Cresco Pte Ltd</t>
  </si>
  <si>
    <t>INV-2003</t>
  </si>
  <si>
    <t>NoReg Trading</t>
  </si>
  <si>
    <t>BILL-3003</t>
  </si>
  <si>
    <t>DupSupplier Pte Ltd</t>
  </si>
  <si>
    <t>BILL-3004</t>
  </si>
  <si>
    <t>BILL-3005</t>
  </si>
  <si>
    <t>Marina Fine Dining Pte Ltd</t>
  </si>
  <si>
    <t>BILL-3006</t>
  </si>
  <si>
    <t>Manual Journal</t>
  </si>
  <si>
    <t>MJ-CODED test</t>
  </si>
  <si>
    <t>#13</t>
  </si>
  <si>
    <t>MJ-RAWGL test - MJ-RAWGL test</t>
  </si>
  <si>
    <t>#14</t>
  </si>
  <si>
    <t>AutoCare SG Pte Ltd</t>
  </si>
  <si>
    <t>BILL-3007</t>
  </si>
  <si>
    <t>Receivable Credit Note</t>
  </si>
  <si>
    <t>CN-0002</t>
  </si>
  <si>
    <t>Total GST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</si>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</sst>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(#,##0.00)"/>
    <numFmt numFmtId="165" formatCode="dd mmm yyyy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7.5" customWidth="1"/>
    <col min="2" max="2" width="22" customWidth="1"/>
    <col min="3" max="3" width="33.5" customWidth="1"/>
    <col min="4" max="4" width="11.66015625" customWidth="1"/>
    <col min="5" max="5" width="7.33203125" customWidth="1"/>
    <col min="6" max="6" width="8" customWidth="1"/>
    <col min="7" max="7" width="19.33203125" customWidth="1"/>
    <col min="8" max="8" width="8.83203125" customWidth="1"/>
    <col min="9" max="9" width="5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ht="13.35" customHeight="true"/>
    <row r="7" ht="12.1" customHeight="true" customFormat="true" s="5">
      <c r="A7" s="8" t="s">
        <v>12</v>
      </c>
      <c r="B7" s="8"/>
      <c r="C7" s="8"/>
      <c r="D7" s="8"/>
      <c r="E7" s="8"/>
      <c r="F7" s="8"/>
      <c r="G7" s="8"/>
      <c r="H7" s="8"/>
      <c r="I7" s="8"/>
    </row>
    <row r="8" ht="10.95" customHeight="true" customFormat="true" s="9">
      <c r="A8" s="10" t="s">
        <v>13</v>
      </c>
      <c r="B8" s="10"/>
      <c r="C8" s="10"/>
      <c r="D8" s="10"/>
      <c r="E8" s="11">
        <v>0</v>
      </c>
      <c r="F8" s="11">
        <v>0</v>
      </c>
      <c r="G8" s="11">
        <f ca="1">(F8 - E8)</f>
        <v>0</v>
      </c>
      <c r="H8" s="11">
        <v>0</v>
      </c>
      <c r="I8" s="11">
        <v>0</v>
      </c>
    </row>
    <row r="9" ht="10.95" customHeight="true" customFormat="true" s="9">
      <c r="A9" s="12">
        <v>46120</v>
      </c>
      <c r="B9" s="13" t="s">
        <v>14</v>
      </c>
      <c r="C9" s="13" t="s">
        <v>15</v>
      </c>
      <c r="D9" s="13" t="s">
        <v>16</v>
      </c>
      <c r="E9" s="14">
        <v>0</v>
      </c>
      <c r="F9" s="14">
        <v>900.0000</v>
      </c>
      <c r="G9" s="14">
        <f ca="1">((G8 + F9) - E9)</f>
        <v>0</v>
      </c>
      <c r="H9" s="14">
        <v>900.0000</v>
      </c>
      <c r="I9" s="14">
        <v>0</v>
      </c>
    </row>
    <row r="10" ht="10.95" customHeight="true" customFormat="true" s="9">
      <c r="A10" s="15">
        <v>46122</v>
      </c>
      <c r="B10" s="16" t="s">
        <v>17</v>
      </c>
      <c r="C10" s="16" t="s">
        <v>18</v>
      </c>
      <c r="D10" s="16" t="s">
        <v>19</v>
      </c>
      <c r="E10" s="17">
        <v>180.0000</v>
      </c>
      <c r="F10" s="17">
        <v>0</v>
      </c>
      <c r="G10" s="17">
        <f ca="1">((G9 + F10) - E10)</f>
        <v>0</v>
      </c>
      <c r="H10" s="17">
        <v>-180.0000</v>
      </c>
      <c r="I10" s="17">
        <v>0</v>
      </c>
    </row>
    <row r="11" ht="10.95" customHeight="true" customFormat="true" s="9">
      <c r="A11" s="15">
        <v>46134</v>
      </c>
      <c r="B11" s="16" t="s">
        <v>17</v>
      </c>
      <c r="C11" s="16" t="s">
        <v>20</v>
      </c>
      <c r="D11" s="16" t="s">
        <v>21</v>
      </c>
      <c r="E11" s="17">
        <v>320.0000</v>
      </c>
      <c r="F11" s="17">
        <v>0</v>
      </c>
      <c r="G11" s="17">
        <f ca="1">((G10 + F11) - E11)</f>
        <v>0</v>
      </c>
      <c r="H11" s="17">
        <v>-320.0000</v>
      </c>
      <c r="I11" s="17">
        <v>0</v>
      </c>
    </row>
    <row r="12" ht="10.95" customHeight="true" customFormat="true" s="9">
      <c r="A12" s="15">
        <v>46144</v>
      </c>
      <c r="B12" s="16" t="s">
        <v>14</v>
      </c>
      <c r="C12" s="16" t="s">
        <v>22</v>
      </c>
      <c r="D12" s="16" t="s">
        <v>23</v>
      </c>
      <c r="E12" s="17">
        <v>0</v>
      </c>
      <c r="F12" s="17">
        <v>270.0000</v>
      </c>
      <c r="G12" s="17">
        <f ca="1">((G11 + F12) - E12)</f>
        <v>0</v>
      </c>
      <c r="H12" s="17">
        <v>270.0000</v>
      </c>
      <c r="I12" s="17">
        <v>0</v>
      </c>
    </row>
    <row r="13" ht="10.95" customHeight="true" customFormat="true" s="9">
      <c r="A13" s="15">
        <v>46148</v>
      </c>
      <c r="B13" s="16" t="s">
        <v>17</v>
      </c>
      <c r="C13" s="16" t="s">
        <v>24</v>
      </c>
      <c r="D13" s="16" t="s">
        <v>25</v>
      </c>
      <c r="E13" s="17">
        <v>135.0000</v>
      </c>
      <c r="F13" s="17">
        <v>0</v>
      </c>
      <c r="G13" s="17">
        <f ca="1">((G12 + F13) - E13)</f>
        <v>0</v>
      </c>
      <c r="H13" s="17">
        <v>-135.0000</v>
      </c>
      <c r="I13" s="17">
        <v>0</v>
      </c>
    </row>
    <row r="14" ht="10.95" customHeight="true" customFormat="true" s="9">
      <c r="A14" s="15">
        <v>46154</v>
      </c>
      <c r="B14" s="16" t="s">
        <v>17</v>
      </c>
      <c r="C14" s="16" t="s">
        <v>26</v>
      </c>
      <c r="D14" s="16" t="s">
        <v>27</v>
      </c>
      <c r="E14" s="17">
        <v>225.0000</v>
      </c>
      <c r="F14" s="17">
        <v>0</v>
      </c>
      <c r="G14" s="17">
        <f ca="1">((G13 + F14) - E14)</f>
        <v>0</v>
      </c>
      <c r="H14" s="17">
        <v>-225.0000</v>
      </c>
      <c r="I14" s="17">
        <v>0</v>
      </c>
    </row>
    <row r="15" ht="10.95" customHeight="true" customFormat="true" s="9">
      <c r="A15" s="15">
        <v>46161</v>
      </c>
      <c r="B15" s="16" t="s">
        <v>17</v>
      </c>
      <c r="C15" s="16" t="s">
        <v>26</v>
      </c>
      <c r="D15" s="16" t="s">
        <v>28</v>
      </c>
      <c r="E15" s="17">
        <v>225.0000</v>
      </c>
      <c r="F15" s="17">
        <v>0</v>
      </c>
      <c r="G15" s="17">
        <f ca="1">((G14 + F15) - E15)</f>
        <v>0</v>
      </c>
      <c r="H15" s="17">
        <v>-225.0000</v>
      </c>
      <c r="I15" s="17">
        <v>0</v>
      </c>
    </row>
    <row r="16" ht="10.95" customHeight="true" customFormat="true" s="9">
      <c r="A16" s="15">
        <v>46170</v>
      </c>
      <c r="B16" s="16" t="s">
        <v>17</v>
      </c>
      <c r="C16" s="16" t="s">
        <v>29</v>
      </c>
      <c r="D16" s="16" t="s">
        <v>30</v>
      </c>
      <c r="E16" s="17">
        <v>72.0000</v>
      </c>
      <c r="F16" s="17">
        <v>0</v>
      </c>
      <c r="G16" s="17">
        <f ca="1">((G15 + F16) - E16)</f>
        <v>0</v>
      </c>
      <c r="H16" s="17">
        <v>-72.0000</v>
      </c>
      <c r="I16" s="17">
        <v>0</v>
      </c>
    </row>
    <row r="17" ht="10.95" customHeight="true" customFormat="true" s="9">
      <c r="A17" s="15">
        <v>46171</v>
      </c>
      <c r="B17" s="16" t="s">
        <v>31</v>
      </c>
      <c r="C17" s="16" t="s">
        <v>32</v>
      </c>
      <c r="D17" s="16" t="s">
        <v>33</v>
      </c>
      <c r="E17" s="17">
        <v>6.3000</v>
      </c>
      <c r="F17" s="17">
        <v>0</v>
      </c>
      <c r="G17" s="17">
        <f ca="1">((G16 + F17) - E17)</f>
        <v>0</v>
      </c>
      <c r="H17" s="17">
        <v>-6.3000</v>
      </c>
      <c r="I17" s="17">
        <v>0</v>
      </c>
    </row>
    <row r="18" ht="10.95" customHeight="true" customFormat="true" s="9">
      <c r="A18" s="15">
        <v>46171</v>
      </c>
      <c r="B18" s="16" t="s">
        <v>31</v>
      </c>
      <c r="C18" s="16" t="s">
        <v>34</v>
      </c>
      <c r="D18" s="16" t="s">
        <v>35</v>
      </c>
      <c r="E18" s="17">
        <v>6.3000</v>
      </c>
      <c r="F18" s="17">
        <v>0</v>
      </c>
      <c r="G18" s="17">
        <f ca="1">((G17 + F18) - E18)</f>
        <v>0</v>
      </c>
      <c r="H18" s="17">
        <v>-6.3000</v>
      </c>
      <c r="I18" s="17">
        <v>0</v>
      </c>
    </row>
    <row r="19" ht="10.95" customHeight="true" customFormat="true" s="9">
      <c r="A19" s="15">
        <v>46176</v>
      </c>
      <c r="B19" s="16" t="s">
        <v>17</v>
      </c>
      <c r="C19" s="16" t="s">
        <v>36</v>
      </c>
      <c r="D19" s="16" t="s">
        <v>37</v>
      </c>
      <c r="E19" s="17">
        <v>108.0000</v>
      </c>
      <c r="F19" s="17">
        <v>0</v>
      </c>
      <c r="G19" s="17">
        <f ca="1">((G18 + F19) - E19)</f>
        <v>0</v>
      </c>
      <c r="H19" s="17">
        <v>-108.0000</v>
      </c>
      <c r="I19" s="17">
        <v>0</v>
      </c>
    </row>
    <row r="20" ht="10.95" customHeight="true" customFormat="true" s="9">
      <c r="A20" s="15">
        <v>46202</v>
      </c>
      <c r="B20" s="16" t="s">
        <v>38</v>
      </c>
      <c r="C20" s="16" t="s">
        <v>15</v>
      </c>
      <c r="D20" s="16" t="s">
        <v>39</v>
      </c>
      <c r="E20" s="17">
        <v>180.0000</v>
      </c>
      <c r="F20" s="17">
        <v>0</v>
      </c>
      <c r="G20" s="17">
        <f ca="1">((G19 + F20) - E20)</f>
        <v>0</v>
      </c>
      <c r="H20" s="17">
        <v>-180.0000</v>
      </c>
      <c r="I20" s="17">
        <v>0</v>
      </c>
    </row>
    <row r="21" ht="10.95" customHeight="true" customFormat="true" s="9">
      <c r="A21" s="18" t="s">
        <v>40</v>
      </c>
      <c r="B21" s="18"/>
      <c r="C21" s="18"/>
      <c r="D21" s="18"/>
      <c r="E21" s="19">
        <f ca="1">SUM(E9:E20)</f>
        <v>0</v>
      </c>
      <c r="F21" s="19">
        <f ca="1">SUM(F9:F20)</f>
        <v>0</v>
      </c>
      <c r="G21" s="19">
        <f ca="1">G20</f>
        <v>0</v>
      </c>
      <c r="H21" s="19">
        <f ca="1">SUM(H9:H20)</f>
        <v>0</v>
      </c>
      <c r="I21" s="19">
        <f ca="1">SUM(I9:I20)</f>
        <v>0</v>
      </c>
    </row>
    <row r="22" ht="10.95" customHeight="true" customFormat="true" s="9">
      <c r="A22" s="10" t="s">
        <v>41</v>
      </c>
      <c r="B22" s="10"/>
      <c r="C22" s="10"/>
      <c r="D22" s="10"/>
      <c r="E22" s="11">
        <v>287.6000</v>
      </c>
      <c r="F22" s="11">
        <v>0</v>
      </c>
      <c r="G22" s="11">
        <f ca="1">G20</f>
        <v>0</v>
      </c>
      <c r="H22" s="11">
        <v>0</v>
      </c>
      <c r="I22" s="11">
        <v>0</v>
      </c>
    </row>
    <row r="23" ht="13.35" customHeight="true"/>
    <row r="24" ht="10.95" customHeight="true" customFormat="true" s="9">
      <c r="A24" s="20" t="s">
        <v>42</v>
      </c>
      <c r="B24" s="20"/>
      <c r="C24" s="20"/>
      <c r="D24" s="20"/>
      <c r="E24" s="21">
        <f ca="1">E21</f>
        <v>0</v>
      </c>
      <c r="F24" s="21">
        <f ca="1">F21</f>
        <v>0</v>
      </c>
      <c r="G24" s="21">
        <f ca="1">G21</f>
        <v>0</v>
      </c>
      <c r="H24" s="21">
        <f ca="1">H21</f>
        <v>0</v>
      </c>
      <c r="I24" s="21">
        <f ca="1">I21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