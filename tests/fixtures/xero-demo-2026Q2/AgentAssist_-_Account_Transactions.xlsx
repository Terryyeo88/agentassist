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GST Transactions" sheetId="1" r:id="rId1"/>
  </sheets>
  <calcPr calcId="162913"/>
</workbook>
</file>

<file path=xl/sharedStrings.xml><?xml version="1.0" encoding="utf-8"?>
<sst xmlns="http://schemas.openxmlformats.org/spreadsheetml/2006/main" count="72" uniqueCount="72">
  <si>
    <t>GST Transactions</t>
  </si>
  <si>
    <t>AgentAssist</t>
  </si>
  <si>
    <t>For the period 1 April 2026 to 30 June 2026</t>
  </si>
  <si>
    <t>Date</t>
  </si>
  <si>
    <t>Source</t>
  </si>
  <si>
    <t>Description</t>
  </si>
  <si>
    <t>Reference</t>
  </si>
  <si>
    <t>Debit</t>
  </si>
  <si>
    <t>Credit</t>
  </si>
  <si>
    <t>Running Balance</t>
  </si>
  <si>
    <t>Gross</t>
  </si>
  <si>
    <t>Tax</t>
  </si>
  <si>
    <t>GST</t>
  </si>
  <si>
    <t>Opening Balance</t>
  </si>
  <si>
    <t>Payable Invoice</t>
  </si>
  <si>
    <t>Keppel Data Services Pte Ltd</t>
  </si>
  <si>
    <t>BILL-3008</t>
  </si>
  <si>
    <t>Receivable Invoice</t>
  </si>
  <si>
    <t>Acme Pte Ltd</t>
  </si>
  <si>
    <t>INV-2001</t>
  </si>
  <si>
    <t>GoodVendor Pte Ltd</t>
  </si>
  <si>
    <t>BILL-3001</t>
  </si>
  <si>
    <t>Harbourfront Logistics Pte Ltd</t>
  </si>
  <si>
    <t>INV-2004</t>
  </si>
  <si>
    <t>Bras Basah Print Pte Ltd</t>
  </si>
  <si>
    <t>BILL-3009</t>
  </si>
  <si>
    <t>Tanjong Media Pte Ltd</t>
  </si>
  <si>
    <t>INV-2005</t>
  </si>
  <si>
    <t>OldRate Supplies Pte Ltd</t>
  </si>
  <si>
    <t>BILL-3002</t>
  </si>
  <si>
    <t>Serangoon Facilities Pte Ltd</t>
  </si>
  <si>
    <t>BILL-3010</t>
  </si>
  <si>
    <t>INV-2006</t>
  </si>
  <si>
    <t>Cresco Pte Ltd</t>
  </si>
  <si>
    <t>INV-2003</t>
  </si>
  <si>
    <t>INV-2007</t>
  </si>
  <si>
    <t>NoReg Trading</t>
  </si>
  <si>
    <t>BILL-3003</t>
  </si>
  <si>
    <t>Bugis Software Pte Ltd</t>
  </si>
  <si>
    <t>BILL-3011</t>
  </si>
  <si>
    <t>DupSupplier Pte Ltd</t>
  </si>
  <si>
    <t>BILL-3004</t>
  </si>
  <si>
    <t>BILL-3016</t>
  </si>
  <si>
    <t>INV-2008</t>
  </si>
  <si>
    <t>BILL-3012</t>
  </si>
  <si>
    <t>BILL-3005</t>
  </si>
  <si>
    <t>INV-2009</t>
  </si>
  <si>
    <t>BILL-3013</t>
  </si>
  <si>
    <t>Marina Fine Dining Pte Ltd</t>
  </si>
  <si>
    <t>BILL-3006</t>
  </si>
  <si>
    <t>Manual Journal</t>
  </si>
  <si>
    <t>MJ-CODED test</t>
  </si>
  <si>
    <t>#13</t>
  </si>
  <si>
    <t>MJ-RAWGL test - MJ-RAWGL test</t>
  </si>
  <si>
    <t>#14</t>
  </si>
  <si>
    <t>Jurong Cold Chain Pte Ltd</t>
  </si>
  <si>
    <t>Q-4417</t>
  </si>
  <si>
    <t>Novena Clinic Supplies Pte Ltd</t>
  </si>
  <si>
    <t>INV-2010</t>
  </si>
  <si>
    <t>AutoCare SG Pte Ltd</t>
  </si>
  <si>
    <t>BILL-3007</t>
  </si>
  <si>
    <t>BILL-3017</t>
  </si>
  <si>
    <t>BILL-3014</t>
  </si>
  <si>
    <t>INV-8823</t>
  </si>
  <si>
    <t>INV-2014</t>
  </si>
  <si>
    <t>INV-2011</t>
  </si>
  <si>
    <t>BILL-3015</t>
  </si>
  <si>
    <t>Receivable Credit Note</t>
  </si>
  <si>
    <t>CN-0002</t>
  </si>
  <si>
    <t>Total GST</t>
  </si>
  <si>
    <t>Closing 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</si>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</sst>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(#,##0.00)"/>
    <numFmt numFmtId="165" formatCode="dd mmm yyyy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0" xfId="0" applyFont="true" applyBorder="true" applyAlignment="true">
      <alignment vertical="center"/>
    </xf>
    <xf numFmtId="0" fontId="0" fillId="0" borderId="0" xfId="0" applyFont="true"/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165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165" fontId="0" fillId="0" borderId="3" xfId="0" applyNumberFormat="true" applyFont="true" applyBorder="true" applyAlignment="true">
      <alignment horizontal="left" vertical="center"/>
    </xf>
    <xf numFmtId="0" fontId="0" fillId="0" borderId="3" xfId="0" applyFont="true" applyBorder="true" applyAlignment="true">
      <alignment vertical="center"/>
    </xf>
    <xf numFmtId="164" fontId="0" fillId="0" borderId="3" xfId="0" applyNumberFormat="true" applyFont="true" applyBorder="true" applyAlignment="true">
      <alignment horizontal="right" vertical="center"/>
    </xf>
    <xf numFmtId="0" fontId="6" fillId="0" borderId="3" xfId="0" applyFont="true" applyBorder="true" applyAlignment="true">
      <alignment vertical="center"/>
    </xf>
    <xf numFmtId="164" fontId="6" fillId="0" borderId="3" xfId="0" applyNumberFormat="true" applyFont="true" applyBorder="true" applyAlignment="true">
      <alignment horizontal="right" vertical="center"/>
    </xf>
    <xf numFmtId="0" fontId="6" fillId="2" borderId="2" xfId="0" applyFont="true" applyFill="true" applyBorder="true" applyAlignment="true">
      <alignment vertical="center"/>
    </xf>
    <xf numFmtId="164" fontId="6" fillId="2" borderId="2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45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7.5" customWidth="1"/>
    <col min="2" max="2" width="22" customWidth="1"/>
    <col min="3" max="3" width="33.5" customWidth="1"/>
    <col min="4" max="4" width="11.66015625" customWidth="1"/>
    <col min="5" max="5" width="7.33203125" customWidth="1"/>
    <col min="6" max="6" width="9" customWidth="1"/>
    <col min="7" max="7" width="19.33203125" customWidth="1"/>
    <col min="8" max="8" width="9" customWidth="1"/>
    <col min="9" max="9" width="5.3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</row>
    <row r="6" ht="13.35" customHeight="true"/>
    <row r="7" ht="12.1" customHeight="true" customFormat="true" s="5">
      <c r="A7" s="8" t="s">
        <v>12</v>
      </c>
      <c r="B7" s="8"/>
      <c r="C7" s="8"/>
      <c r="D7" s="8"/>
      <c r="E7" s="8"/>
      <c r="F7" s="8"/>
      <c r="G7" s="8"/>
      <c r="H7" s="8"/>
      <c r="I7" s="8"/>
    </row>
    <row r="8" ht="10.95" customHeight="true" customFormat="true" s="9">
      <c r="A8" s="10" t="s">
        <v>13</v>
      </c>
      <c r="B8" s="10"/>
      <c r="C8" s="10"/>
      <c r="D8" s="10"/>
      <c r="E8" s="11">
        <v>0</v>
      </c>
      <c r="F8" s="11">
        <v>0</v>
      </c>
      <c r="G8" s="11">
        <f ca="1">(F8 - E8)</f>
        <v>0</v>
      </c>
      <c r="H8" s="11">
        <v>0</v>
      </c>
      <c r="I8" s="11">
        <v>0</v>
      </c>
    </row>
    <row r="9" ht="10.95" customHeight="true" customFormat="true" s="9">
      <c r="A9" s="12">
        <v>46119</v>
      </c>
      <c r="B9" s="13" t="s">
        <v>14</v>
      </c>
      <c r="C9" s="13" t="s">
        <v>15</v>
      </c>
      <c r="D9" s="13" t="s">
        <v>16</v>
      </c>
      <c r="E9" s="14">
        <v>288.0000</v>
      </c>
      <c r="F9" s="14">
        <v>0</v>
      </c>
      <c r="G9" s="14">
        <f ca="1">((G8 + F9) - E9)</f>
        <v>0</v>
      </c>
      <c r="H9" s="14">
        <v>-288.0000</v>
      </c>
      <c r="I9" s="14">
        <v>0</v>
      </c>
    </row>
    <row r="10" ht="10.95" customHeight="true" customFormat="true" s="9">
      <c r="A10" s="15">
        <v>46120</v>
      </c>
      <c r="B10" s="16" t="s">
        <v>17</v>
      </c>
      <c r="C10" s="16" t="s">
        <v>18</v>
      </c>
      <c r="D10" s="16" t="s">
        <v>19</v>
      </c>
      <c r="E10" s="17">
        <v>0</v>
      </c>
      <c r="F10" s="17">
        <v>900.0000</v>
      </c>
      <c r="G10" s="17">
        <f ca="1">((G9 + F10) - E10)</f>
        <v>0</v>
      </c>
      <c r="H10" s="17">
        <v>900.0000</v>
      </c>
      <c r="I10" s="17">
        <v>0</v>
      </c>
    </row>
    <row r="11" ht="10.95" customHeight="true" customFormat="true" s="9">
      <c r="A11" s="15">
        <v>46122</v>
      </c>
      <c r="B11" s="16" t="s">
        <v>14</v>
      </c>
      <c r="C11" s="16" t="s">
        <v>20</v>
      </c>
      <c r="D11" s="16" t="s">
        <v>21</v>
      </c>
      <c r="E11" s="17">
        <v>180.0000</v>
      </c>
      <c r="F11" s="17">
        <v>0</v>
      </c>
      <c r="G11" s="17">
        <f ca="1">((G10 + F11) - E11)</f>
        <v>0</v>
      </c>
      <c r="H11" s="17">
        <v>-180.0000</v>
      </c>
      <c r="I11" s="17">
        <v>0</v>
      </c>
    </row>
    <row r="12" ht="10.95" customHeight="true" customFormat="true" s="9">
      <c r="A12" s="15">
        <v>46124</v>
      </c>
      <c r="B12" s="16" t="s">
        <v>17</v>
      </c>
      <c r="C12" s="16" t="s">
        <v>22</v>
      </c>
      <c r="D12" s="16" t="s">
        <v>23</v>
      </c>
      <c r="E12" s="17">
        <v>0</v>
      </c>
      <c r="F12" s="17">
        <v>378.0000</v>
      </c>
      <c r="G12" s="17">
        <f ca="1">((G11 + F12) - E12)</f>
        <v>0</v>
      </c>
      <c r="H12" s="17">
        <v>378.0000</v>
      </c>
      <c r="I12" s="17">
        <v>0</v>
      </c>
    </row>
    <row r="13" ht="10.95" customHeight="true" customFormat="true" s="9">
      <c r="A13" s="15">
        <v>46128</v>
      </c>
      <c r="B13" s="16" t="s">
        <v>14</v>
      </c>
      <c r="C13" s="16" t="s">
        <v>24</v>
      </c>
      <c r="D13" s="16" t="s">
        <v>25</v>
      </c>
      <c r="E13" s="17">
        <v>81.0000</v>
      </c>
      <c r="F13" s="17">
        <v>0</v>
      </c>
      <c r="G13" s="17">
        <f ca="1">((G12 + F13) - E13)</f>
        <v>0</v>
      </c>
      <c r="H13" s="17">
        <v>-81.0000</v>
      </c>
      <c r="I13" s="17">
        <v>0</v>
      </c>
    </row>
    <row r="14" ht="10.95" customHeight="true" customFormat="true" s="9">
      <c r="A14" s="15">
        <v>46132</v>
      </c>
      <c r="B14" s="16" t="s">
        <v>17</v>
      </c>
      <c r="C14" s="16" t="s">
        <v>26</v>
      </c>
      <c r="D14" s="16" t="s">
        <v>27</v>
      </c>
      <c r="E14" s="17">
        <v>0</v>
      </c>
      <c r="F14" s="17">
        <v>612.0000</v>
      </c>
      <c r="G14" s="17">
        <f ca="1">((G13 + F14) - E14)</f>
        <v>0</v>
      </c>
      <c r="H14" s="17">
        <v>612.0000</v>
      </c>
      <c r="I14" s="17">
        <v>0</v>
      </c>
    </row>
    <row r="15" ht="10.95" customHeight="true" customFormat="true" s="9">
      <c r="A15" s="15">
        <v>46134</v>
      </c>
      <c r="B15" s="16" t="s">
        <v>14</v>
      </c>
      <c r="C15" s="16" t="s">
        <v>28</v>
      </c>
      <c r="D15" s="16" t="s">
        <v>29</v>
      </c>
      <c r="E15" s="17">
        <v>320.0000</v>
      </c>
      <c r="F15" s="17">
        <v>0</v>
      </c>
      <c r="G15" s="17">
        <f ca="1">((G14 + F15) - E15)</f>
        <v>0</v>
      </c>
      <c r="H15" s="17">
        <v>-320.0000</v>
      </c>
      <c r="I15" s="17">
        <v>0</v>
      </c>
    </row>
    <row r="16" ht="10.95" customHeight="true" customFormat="true" s="9">
      <c r="A16" s="15">
        <v>46136</v>
      </c>
      <c r="B16" s="16" t="s">
        <v>14</v>
      </c>
      <c r="C16" s="16" t="s">
        <v>30</v>
      </c>
      <c r="D16" s="16" t="s">
        <v>31</v>
      </c>
      <c r="E16" s="17">
        <v>162.0000</v>
      </c>
      <c r="F16" s="17">
        <v>0</v>
      </c>
      <c r="G16" s="17">
        <f ca="1">((G15 + F16) - E16)</f>
        <v>0</v>
      </c>
      <c r="H16" s="17">
        <v>-162.0000</v>
      </c>
      <c r="I16" s="17">
        <v>0</v>
      </c>
    </row>
    <row r="17" ht="10.95" customHeight="true" customFormat="true" s="9">
      <c r="A17" s="15">
        <v>46140</v>
      </c>
      <c r="B17" s="16" t="s">
        <v>17</v>
      </c>
      <c r="C17" s="16" t="s">
        <v>15</v>
      </c>
      <c r="D17" s="16" t="s">
        <v>32</v>
      </c>
      <c r="E17" s="17">
        <v>0</v>
      </c>
      <c r="F17" s="17">
        <v>1350.0000</v>
      </c>
      <c r="G17" s="17">
        <f ca="1">((G16 + F17) - E17)</f>
        <v>0</v>
      </c>
      <c r="H17" s="17">
        <v>1350.0000</v>
      </c>
      <c r="I17" s="17">
        <v>0</v>
      </c>
    </row>
    <row r="18" ht="10.95" customHeight="true" customFormat="true" s="9">
      <c r="A18" s="15">
        <v>46144</v>
      </c>
      <c r="B18" s="16" t="s">
        <v>17</v>
      </c>
      <c r="C18" s="16" t="s">
        <v>33</v>
      </c>
      <c r="D18" s="16" t="s">
        <v>34</v>
      </c>
      <c r="E18" s="17">
        <v>0</v>
      </c>
      <c r="F18" s="17">
        <v>270.0000</v>
      </c>
      <c r="G18" s="17">
        <f ca="1">((G17 + F18) - E18)</f>
        <v>0</v>
      </c>
      <c r="H18" s="17">
        <v>270.0000</v>
      </c>
      <c r="I18" s="17">
        <v>0</v>
      </c>
    </row>
    <row r="19" ht="10.95" customHeight="true" customFormat="true" s="9">
      <c r="A19" s="15">
        <v>46147</v>
      </c>
      <c r="B19" s="16" t="s">
        <v>17</v>
      </c>
      <c r="C19" s="16" t="s">
        <v>24</v>
      </c>
      <c r="D19" s="16" t="s">
        <v>35</v>
      </c>
      <c r="E19" s="17">
        <v>0</v>
      </c>
      <c r="F19" s="17">
        <v>216.0000</v>
      </c>
      <c r="G19" s="17">
        <f ca="1">((G18 + F19) - E19)</f>
        <v>0</v>
      </c>
      <c r="H19" s="17">
        <v>216.0000</v>
      </c>
      <c r="I19" s="17">
        <v>0</v>
      </c>
    </row>
    <row r="20" ht="10.95" customHeight="true" customFormat="true" s="9">
      <c r="A20" s="15">
        <v>46148</v>
      </c>
      <c r="B20" s="16" t="s">
        <v>14</v>
      </c>
      <c r="C20" s="16" t="s">
        <v>36</v>
      </c>
      <c r="D20" s="16" t="s">
        <v>37</v>
      </c>
      <c r="E20" s="17">
        <v>135.0000</v>
      </c>
      <c r="F20" s="17">
        <v>0</v>
      </c>
      <c r="G20" s="17">
        <f ca="1">((G19 + F20) - E20)</f>
        <v>0</v>
      </c>
      <c r="H20" s="17">
        <v>-135.0000</v>
      </c>
      <c r="I20" s="17">
        <v>0</v>
      </c>
    </row>
    <row r="21" ht="10.95" customHeight="true" customFormat="true" s="9">
      <c r="A21" s="15">
        <v>46150</v>
      </c>
      <c r="B21" s="16" t="s">
        <v>14</v>
      </c>
      <c r="C21" s="16" t="s">
        <v>38</v>
      </c>
      <c r="D21" s="16" t="s">
        <v>39</v>
      </c>
      <c r="E21" s="17">
        <v>234.0000</v>
      </c>
      <c r="F21" s="17">
        <v>0</v>
      </c>
      <c r="G21" s="17">
        <f ca="1">((G20 + F21) - E21)</f>
        <v>0</v>
      </c>
      <c r="H21" s="17">
        <v>-234.0000</v>
      </c>
      <c r="I21" s="17">
        <v>0</v>
      </c>
    </row>
    <row r="22" ht="10.95" customHeight="true" customFormat="true" s="9">
      <c r="A22" s="15">
        <v>46154</v>
      </c>
      <c r="B22" s="16" t="s">
        <v>14</v>
      </c>
      <c r="C22" s="16" t="s">
        <v>40</v>
      </c>
      <c r="D22" s="16" t="s">
        <v>41</v>
      </c>
      <c r="E22" s="17">
        <v>225.0000</v>
      </c>
      <c r="F22" s="17">
        <v>0</v>
      </c>
      <c r="G22" s="17">
        <f ca="1">((G21 + F22) - E22)</f>
        <v>0</v>
      </c>
      <c r="H22" s="17">
        <v>-225.0000</v>
      </c>
      <c r="I22" s="17">
        <v>0</v>
      </c>
    </row>
    <row r="23" ht="10.95" customHeight="true" customFormat="true" s="9">
      <c r="A23" s="15">
        <v>46155</v>
      </c>
      <c r="B23" s="16" t="s">
        <v>14</v>
      </c>
      <c r="C23" s="16" t="s">
        <v>15</v>
      </c>
      <c r="D23" s="16" t="s">
        <v>42</v>
      </c>
      <c r="E23" s="17">
        <v>260.0000</v>
      </c>
      <c r="F23" s="17">
        <v>0</v>
      </c>
      <c r="G23" s="17">
        <f ca="1">((G22 + F23) - E23)</f>
        <v>0</v>
      </c>
      <c r="H23" s="17">
        <v>-260.0000</v>
      </c>
      <c r="I23" s="17">
        <v>0</v>
      </c>
    </row>
    <row r="24" ht="10.95" customHeight="true" customFormat="true" s="9">
      <c r="A24" s="15">
        <v>46156</v>
      </c>
      <c r="B24" s="16" t="s">
        <v>17</v>
      </c>
      <c r="C24" s="16" t="s">
        <v>30</v>
      </c>
      <c r="D24" s="16" t="s">
        <v>43</v>
      </c>
      <c r="E24" s="17">
        <v>0</v>
      </c>
      <c r="F24" s="17">
        <v>675.0000</v>
      </c>
      <c r="G24" s="17">
        <f ca="1">((G23 + F24) - E24)</f>
        <v>0</v>
      </c>
      <c r="H24" s="17">
        <v>675.0000</v>
      </c>
      <c r="I24" s="17">
        <v>0</v>
      </c>
    </row>
    <row r="25" ht="10.95" customHeight="true" customFormat="true" s="9">
      <c r="A25" s="15">
        <v>46157</v>
      </c>
      <c r="B25" s="16" t="s">
        <v>14</v>
      </c>
      <c r="C25" s="16" t="s">
        <v>22</v>
      </c>
      <c r="D25" s="16" t="s">
        <v>44</v>
      </c>
      <c r="E25" s="17">
        <v>57.6000</v>
      </c>
      <c r="F25" s="17">
        <v>0</v>
      </c>
      <c r="G25" s="17">
        <f ca="1">((G24 + F25) - E25)</f>
        <v>0</v>
      </c>
      <c r="H25" s="17">
        <v>-57.6000</v>
      </c>
      <c r="I25" s="17">
        <v>0</v>
      </c>
    </row>
    <row r="26" ht="10.95" customHeight="true" customFormat="true" s="9">
      <c r="A26" s="15">
        <v>46161</v>
      </c>
      <c r="B26" s="16" t="s">
        <v>14</v>
      </c>
      <c r="C26" s="16" t="s">
        <v>40</v>
      </c>
      <c r="D26" s="16" t="s">
        <v>45</v>
      </c>
      <c r="E26" s="17">
        <v>225.0000</v>
      </c>
      <c r="F26" s="17">
        <v>0</v>
      </c>
      <c r="G26" s="17">
        <f ca="1">((G25 + F26) - E26)</f>
        <v>0</v>
      </c>
      <c r="H26" s="17">
        <v>-225.0000</v>
      </c>
      <c r="I26" s="17">
        <v>0</v>
      </c>
    </row>
    <row r="27" ht="10.95" customHeight="true" customFormat="true" s="9">
      <c r="A27" s="15">
        <v>46163</v>
      </c>
      <c r="B27" s="16" t="s">
        <v>17</v>
      </c>
      <c r="C27" s="16" t="s">
        <v>38</v>
      </c>
      <c r="D27" s="16" t="s">
        <v>46</v>
      </c>
      <c r="E27" s="17">
        <v>0</v>
      </c>
      <c r="F27" s="17">
        <v>828.0000</v>
      </c>
      <c r="G27" s="17">
        <f ca="1">((G26 + F27) - E27)</f>
        <v>0</v>
      </c>
      <c r="H27" s="17">
        <v>828.0000</v>
      </c>
      <c r="I27" s="17">
        <v>0</v>
      </c>
    </row>
    <row r="28" ht="10.95" customHeight="true" customFormat="true" s="9">
      <c r="A28" s="15">
        <v>46169</v>
      </c>
      <c r="B28" s="16" t="s">
        <v>14</v>
      </c>
      <c r="C28" s="16" t="s">
        <v>26</v>
      </c>
      <c r="D28" s="16" t="s">
        <v>47</v>
      </c>
      <c r="E28" s="17">
        <v>369.0000</v>
      </c>
      <c r="F28" s="17">
        <v>0</v>
      </c>
      <c r="G28" s="17">
        <f ca="1">((G27 + F28) - E28)</f>
        <v>0</v>
      </c>
      <c r="H28" s="17">
        <v>-369.0000</v>
      </c>
      <c r="I28" s="17">
        <v>0</v>
      </c>
    </row>
    <row r="29" ht="10.95" customHeight="true" customFormat="true" s="9">
      <c r="A29" s="15">
        <v>46170</v>
      </c>
      <c r="B29" s="16" t="s">
        <v>14</v>
      </c>
      <c r="C29" s="16" t="s">
        <v>48</v>
      </c>
      <c r="D29" s="16" t="s">
        <v>49</v>
      </c>
      <c r="E29" s="17">
        <v>72.0000</v>
      </c>
      <c r="F29" s="17">
        <v>0</v>
      </c>
      <c r="G29" s="17">
        <f ca="1">((G28 + F29) - E29)</f>
        <v>0</v>
      </c>
      <c r="H29" s="17">
        <v>-72.0000</v>
      </c>
      <c r="I29" s="17">
        <v>0</v>
      </c>
    </row>
    <row r="30" ht="10.95" customHeight="true" customFormat="true" s="9">
      <c r="A30" s="15">
        <v>46171</v>
      </c>
      <c r="B30" s="16" t="s">
        <v>50</v>
      </c>
      <c r="C30" s="16" t="s">
        <v>51</v>
      </c>
      <c r="D30" s="16" t="s">
        <v>52</v>
      </c>
      <c r="E30" s="17">
        <v>6.3000</v>
      </c>
      <c r="F30" s="17">
        <v>0</v>
      </c>
      <c r="G30" s="17">
        <f ca="1">((G29 + F30) - E30)</f>
        <v>0</v>
      </c>
      <c r="H30" s="17">
        <v>-6.3000</v>
      </c>
      <c r="I30" s="17">
        <v>0</v>
      </c>
    </row>
    <row r="31" ht="10.95" customHeight="true" customFormat="true" s="9">
      <c r="A31" s="15">
        <v>46171</v>
      </c>
      <c r="B31" s="16" t="s">
        <v>50</v>
      </c>
      <c r="C31" s="16" t="s">
        <v>53</v>
      </c>
      <c r="D31" s="16" t="s">
        <v>54</v>
      </c>
      <c r="E31" s="17">
        <v>6.3000</v>
      </c>
      <c r="F31" s="17">
        <v>0</v>
      </c>
      <c r="G31" s="17">
        <f ca="1">((G30 + F31) - E31)</f>
        <v>0</v>
      </c>
      <c r="H31" s="17">
        <v>-6.3000</v>
      </c>
      <c r="I31" s="17">
        <v>0</v>
      </c>
    </row>
    <row r="32" ht="10.95" customHeight="true" customFormat="true" s="9">
      <c r="A32" s="15">
        <v>46174</v>
      </c>
      <c r="B32" s="16" t="s">
        <v>14</v>
      </c>
      <c r="C32" s="16" t="s">
        <v>55</v>
      </c>
      <c r="D32" s="16" t="s">
        <v>56</v>
      </c>
      <c r="E32" s="17">
        <v>432.0000</v>
      </c>
      <c r="F32" s="17">
        <v>0</v>
      </c>
      <c r="G32" s="17">
        <f ca="1">((G31 + F32) - E32)</f>
        <v>0</v>
      </c>
      <c r="H32" s="17">
        <v>-432.0000</v>
      </c>
      <c r="I32" s="17">
        <v>0</v>
      </c>
    </row>
    <row r="33" ht="10.95" customHeight="true" customFormat="true" s="9">
      <c r="A33" s="15">
        <v>46175</v>
      </c>
      <c r="B33" s="16" t="s">
        <v>17</v>
      </c>
      <c r="C33" s="16" t="s">
        <v>57</v>
      </c>
      <c r="D33" s="16" t="s">
        <v>58</v>
      </c>
      <c r="E33" s="17">
        <v>0</v>
      </c>
      <c r="F33" s="17">
        <v>297.0000</v>
      </c>
      <c r="G33" s="17">
        <f ca="1">((G32 + F33) - E33)</f>
        <v>0</v>
      </c>
      <c r="H33" s="17">
        <v>297.0000</v>
      </c>
      <c r="I33" s="17">
        <v>0</v>
      </c>
    </row>
    <row r="34" ht="10.95" customHeight="true" customFormat="true" s="9">
      <c r="A34" s="15">
        <v>46176</v>
      </c>
      <c r="B34" s="16" t="s">
        <v>14</v>
      </c>
      <c r="C34" s="16" t="s">
        <v>59</v>
      </c>
      <c r="D34" s="16" t="s">
        <v>60</v>
      </c>
      <c r="E34" s="17">
        <v>108.0000</v>
      </c>
      <c r="F34" s="17">
        <v>0</v>
      </c>
      <c r="G34" s="17">
        <f ca="1">((G33 + F34) - E34)</f>
        <v>0</v>
      </c>
      <c r="H34" s="17">
        <v>-108.0000</v>
      </c>
      <c r="I34" s="17">
        <v>0</v>
      </c>
    </row>
    <row r="35" ht="10.95" customHeight="true" customFormat="true" s="9">
      <c r="A35" s="15">
        <v>46176</v>
      </c>
      <c r="B35" s="16" t="s">
        <v>14</v>
      </c>
      <c r="C35" s="16" t="s">
        <v>30</v>
      </c>
      <c r="D35" s="16" t="s">
        <v>61</v>
      </c>
      <c r="E35" s="17">
        <v>140.0000</v>
      </c>
      <c r="F35" s="17">
        <v>0</v>
      </c>
      <c r="G35" s="17">
        <f ca="1">((G34 + F35) - E35)</f>
        <v>0</v>
      </c>
      <c r="H35" s="17">
        <v>-140.0000</v>
      </c>
      <c r="I35" s="17">
        <v>0</v>
      </c>
    </row>
    <row r="36" ht="10.95" customHeight="true" customFormat="true" s="9">
      <c r="A36" s="15">
        <v>46179</v>
      </c>
      <c r="B36" s="16" t="s">
        <v>14</v>
      </c>
      <c r="C36" s="16" t="s">
        <v>55</v>
      </c>
      <c r="D36" s="16" t="s">
        <v>62</v>
      </c>
      <c r="E36" s="17">
        <v>130.5000</v>
      </c>
      <c r="F36" s="17">
        <v>0</v>
      </c>
      <c r="G36" s="17">
        <f ca="1">((G35 + F36) - E36)</f>
        <v>0</v>
      </c>
      <c r="H36" s="17">
        <v>-130.5000</v>
      </c>
      <c r="I36" s="17">
        <v>0</v>
      </c>
    </row>
    <row r="37" ht="10.95" customHeight="true" customFormat="true" s="9">
      <c r="A37" s="15">
        <v>46182</v>
      </c>
      <c r="B37" s="16" t="s">
        <v>14</v>
      </c>
      <c r="C37" s="16" t="s">
        <v>55</v>
      </c>
      <c r="D37" s="16" t="s">
        <v>63</v>
      </c>
      <c r="E37" s="17">
        <v>432.0000</v>
      </c>
      <c r="F37" s="17">
        <v>0</v>
      </c>
      <c r="G37" s="17">
        <f ca="1">((G36 + F37) - E37)</f>
        <v>0</v>
      </c>
      <c r="H37" s="17">
        <v>-432.0000</v>
      </c>
      <c r="I37" s="17">
        <v>0</v>
      </c>
    </row>
    <row r="38" ht="10.95" customHeight="true" customFormat="true" s="9">
      <c r="A38" s="15">
        <v>46184</v>
      </c>
      <c r="B38" s="16" t="s">
        <v>17</v>
      </c>
      <c r="C38" s="16" t="s">
        <v>22</v>
      </c>
      <c r="D38" s="16" t="s">
        <v>64</v>
      </c>
      <c r="E38" s="17">
        <v>0</v>
      </c>
      <c r="F38" s="17">
        <v>540.0000</v>
      </c>
      <c r="G38" s="17">
        <f ca="1">((G37 + F38) - E38)</f>
        <v>0</v>
      </c>
      <c r="H38" s="17">
        <v>540.0000</v>
      </c>
      <c r="I38" s="17">
        <v>0</v>
      </c>
    </row>
    <row r="39" ht="10.95" customHeight="true" customFormat="true" s="9">
      <c r="A39" s="15">
        <v>46191</v>
      </c>
      <c r="B39" s="16" t="s">
        <v>17</v>
      </c>
      <c r="C39" s="16" t="s">
        <v>55</v>
      </c>
      <c r="D39" s="16" t="s">
        <v>65</v>
      </c>
      <c r="E39" s="17">
        <v>0</v>
      </c>
      <c r="F39" s="17">
        <v>504.0000</v>
      </c>
      <c r="G39" s="17">
        <f ca="1">((G38 + F39) - E39)</f>
        <v>0</v>
      </c>
      <c r="H39" s="17">
        <v>504.0000</v>
      </c>
      <c r="I39" s="17">
        <v>0</v>
      </c>
    </row>
    <row r="40" ht="10.95" customHeight="true" customFormat="true" s="9">
      <c r="A40" s="15">
        <v>46195</v>
      </c>
      <c r="B40" s="16" t="s">
        <v>14</v>
      </c>
      <c r="C40" s="16" t="s">
        <v>57</v>
      </c>
      <c r="D40" s="16" t="s">
        <v>66</v>
      </c>
      <c r="E40" s="17">
        <v>34.2000</v>
      </c>
      <c r="F40" s="17">
        <v>0</v>
      </c>
      <c r="G40" s="17">
        <f ca="1">((G39 + F40) - E40)</f>
        <v>0</v>
      </c>
      <c r="H40" s="17">
        <v>-34.2000</v>
      </c>
      <c r="I40" s="17">
        <v>0</v>
      </c>
    </row>
    <row r="41" ht="10.95" customHeight="true" customFormat="true" s="9">
      <c r="A41" s="15">
        <v>46202</v>
      </c>
      <c r="B41" s="16" t="s">
        <v>67</v>
      </c>
      <c r="C41" s="16" t="s">
        <v>18</v>
      </c>
      <c r="D41" s="16" t="s">
        <v>68</v>
      </c>
      <c r="E41" s="17">
        <v>180.0000</v>
      </c>
      <c r="F41" s="17">
        <v>0</v>
      </c>
      <c r="G41" s="17">
        <f ca="1">((G40 + F41) - E41)</f>
        <v>0</v>
      </c>
      <c r="H41" s="17">
        <v>-180.0000</v>
      </c>
      <c r="I41" s="17">
        <v>0</v>
      </c>
    </row>
    <row r="42" ht="10.95" customHeight="true" customFormat="true" s="9">
      <c r="A42" s="18" t="s">
        <v>69</v>
      </c>
      <c r="B42" s="18"/>
      <c r="C42" s="18"/>
      <c r="D42" s="18"/>
      <c r="E42" s="19">
        <f ca="1">SUM(E9:E41)</f>
        <v>0</v>
      </c>
      <c r="F42" s="19">
        <f ca="1">SUM(F9:F41)</f>
        <v>0</v>
      </c>
      <c r="G42" s="19">
        <f ca="1">G41</f>
        <v>0</v>
      </c>
      <c r="H42" s="19">
        <f ca="1">SUM(H9:H41)</f>
        <v>0</v>
      </c>
      <c r="I42" s="19">
        <f ca="1">SUM(I9:I41)</f>
        <v>0</v>
      </c>
    </row>
    <row r="43" ht="10.95" customHeight="true" customFormat="true" s="9">
      <c r="A43" s="10" t="s">
        <v>70</v>
      </c>
      <c r="B43" s="10"/>
      <c r="C43" s="10"/>
      <c r="D43" s="10"/>
      <c r="E43" s="11">
        <v>0</v>
      </c>
      <c r="F43" s="11">
        <v>2492.1000</v>
      </c>
      <c r="G43" s="11">
        <f ca="1">G41</f>
        <v>0</v>
      </c>
      <c r="H43" s="11">
        <v>0</v>
      </c>
      <c r="I43" s="11">
        <v>0</v>
      </c>
    </row>
    <row r="44" ht="13.35" customHeight="true"/>
    <row r="45" ht="10.95" customHeight="true" customFormat="true" s="9">
      <c r="A45" s="20" t="s">
        <v>71</v>
      </c>
      <c r="B45" s="20"/>
      <c r="C45" s="20"/>
      <c r="D45" s="20"/>
      <c r="E45" s="21">
        <f ca="1">E42</f>
        <v>0</v>
      </c>
      <c r="F45" s="21">
        <f ca="1">F42</f>
        <v>0</v>
      </c>
      <c r="G45" s="21">
        <f ca="1">G42</f>
        <v>0</v>
      </c>
      <c r="H45" s="21">
        <f ca="1">H42</f>
        <v>0</v>
      </c>
      <c r="I45" s="21">
        <f ca="1">I42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